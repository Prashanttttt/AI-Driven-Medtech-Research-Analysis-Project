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tudy Data" sheetId="2" state="visible" r:id="rId4"/>
    <sheet name="Mortality Results" sheetId="3" state="visible" r:id="rId5"/>
    <sheet name="Hospitalization Results" sheetId="4" state="visible" r:id="rId6"/>
    <sheet name="Heterogeneity" sheetId="5" state="visible" r:id="rId7"/>
    <sheet name="GRADE Certainty" sheetId="6" state="visible" r:id="rId8"/>
    <sheet name="Economic-SWOT" sheetId="7" state="visible" r:id="rId9"/>
    <sheet name="Figure Galle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<sst xmlns="http://schemas.openxmlformats.org/spreadsheetml/2006/main" count="306" uniqueCount="199">
  <si>
    <t xml:space="preserve">Meta-Analysis of Device-Based Therapies in Heart Failure</t>
  </si>
  <si>
    <t xml:space="preserve">CRT &amp; ICD vs Pharmacological Treatment — Companion Data Workbook</t>
  </si>
  <si>
    <t xml:space="preserve">PROJECT SUMMARY</t>
  </si>
  <si>
    <t xml:space="preserve">Research question</t>
  </si>
  <si>
    <t xml:space="preserve">Do Cardiac Resynchronization Therapy (CRT) and Implantable Cardioverter-Defibrillators (ICD) reduce all-cause mortality and hospitalization in heart failure with reduced ejection fraction (HFrEF), compared with pharmacological treatment?</t>
  </si>
  <si>
    <t xml:space="preserve">Primary outcomes</t>
  </si>
  <si>
    <t xml:space="preserve">All-cause mortality and hospitalization, expressed as Hazard Ratios (HR) with 95% CI.</t>
  </si>
  <si>
    <t xml:space="preserve">Subgroups</t>
  </si>
  <si>
    <t xml:space="preserve">NYHA class (I/II vs III/IV), LVEF (&lt;35% vs ≥35%), age (&lt;70 vs ≥70), gender (male vs female).</t>
  </si>
  <si>
    <t xml:space="preserve">Method</t>
  </si>
  <si>
    <t xml:space="preserve">Systematic review + meta-analysis. Generic inverse-variance pooling of log hazard ratios in RevMan; random-effects model (primary) with fixed-effects sensitivity analysis; I² for heterogeneity; funnel plots for publication bias; GRADE for certainty.</t>
  </si>
  <si>
    <t xml:space="preserve">Studies included</t>
  </si>
  <si>
    <t xml:space="preserve">12 studies tabulated here (RCTs and cohort studies); wider screening pool reported in the dissertation.</t>
  </si>
  <si>
    <t xml:space="preserve">Databases</t>
  </si>
  <si>
    <t xml:space="preserve">PubMed, Cochrane CENTRAL, ClinicalTrials.gov, Google Scholar (final search Aug 2024).</t>
  </si>
  <si>
    <t xml:space="preserve">This workbook</t>
  </si>
  <si>
    <t xml:space="preserve">Structures the dissertation's extracted data and results for reproducible charts, ready to publish on GitHub.</t>
  </si>
  <si>
    <t xml:space="preserve">WORKBOOK CONTENTS</t>
  </si>
  <si>
    <t xml:space="preserve">Study Data</t>
  </si>
  <si>
    <t xml:space="preserve">The 12 included studies with effect sizes (log HR) and subgroup tags; HR computed by formula.</t>
  </si>
  <si>
    <t xml:space="preserve">Mortality Results</t>
  </si>
  <si>
    <t xml:space="preserve">Pooled HR (95% CI) for all-cause mortality by subgroup, with chart.</t>
  </si>
  <si>
    <t xml:space="preserve">Hospitalization Results</t>
  </si>
  <si>
    <t xml:space="preserve">Pooled HR (95% CI) for hospitalization by subgroup, with chart.</t>
  </si>
  <si>
    <t xml:space="preserve">Heterogeneity</t>
  </si>
  <si>
    <t xml:space="preserve">I² statistics across analyses, with chart.</t>
  </si>
  <si>
    <t xml:space="preserve">GRADE Certainty</t>
  </si>
  <si>
    <t xml:space="preserve">Certainty-of-evidence assessment (Table 2 of the dissertation).</t>
  </si>
  <si>
    <t xml:space="preserve">Economic-SWOT</t>
  </si>
  <si>
    <t xml:space="preserve">SWOT analysis and key market players for the CRT/ICD business case.</t>
  </si>
  <si>
    <t xml:space="preserve">Figure Gallery</t>
  </si>
  <si>
    <t xml:space="preserve">High-resolution forest plots and charts (also in /figures for GitHub).</t>
  </si>
  <si>
    <t xml:space="preserve">Note on data fidelity: values are transcribed directly from the dissertation. In the generic inverse-variance method, negative effect sizes are log hazard ratios (HR = e^value). Some I²/HR figures differ between sections of the original document; each is sourced on its sheet. Confirm final values against your RevMan output before submission.</t>
  </si>
  <si>
    <t xml:space="preserve">STUDY DATA — Included Studies (Table 1)</t>
  </si>
  <si>
    <t xml:space="preserve">Effect sizes entered as log hazard ratios (RevMan generic inverse variance). HR columns computed = e^(log HR).</t>
  </si>
  <si>
    <t xml:space="preserve">Study</t>
  </si>
  <si>
    <t xml:space="preserve">Intervention</t>
  </si>
  <si>
    <t xml:space="preserve">Design</t>
  </si>
  <si>
    <t xml:space="preserve">log HR (Mortality)</t>
  </si>
  <si>
    <t xml:space="preserve">log HR (Hosp.)</t>
  </si>
  <si>
    <t xml:space="preserve">HR Mortality</t>
  </si>
  <si>
    <t xml:space="preserve">HR Hosp.</t>
  </si>
  <si>
    <t xml:space="preserve">Age</t>
  </si>
  <si>
    <t xml:space="preserve">LVEF</t>
  </si>
  <si>
    <t xml:space="preserve">NYHA</t>
  </si>
  <si>
    <t xml:space="preserve">Gender</t>
  </si>
  <si>
    <t xml:space="preserve">Cotte 2020</t>
  </si>
  <si>
    <t xml:space="preserve">CRT</t>
  </si>
  <si>
    <t xml:space="preserve">RCT</t>
  </si>
  <si>
    <t xml:space="preserve">&lt;70</t>
  </si>
  <si>
    <t xml:space="preserve">&lt;35%</t>
  </si>
  <si>
    <t xml:space="preserve">I/II</t>
  </si>
  <si>
    <t xml:space="preserve">Male</t>
  </si>
  <si>
    <t xml:space="preserve">Kronborg 2014</t>
  </si>
  <si>
    <t xml:space="preserve">Cohort</t>
  </si>
  <si>
    <t xml:space="preserve">≥70</t>
  </si>
  <si>
    <t xml:space="preserve">≥35%</t>
  </si>
  <si>
    <t xml:space="preserve">III/IV</t>
  </si>
  <si>
    <t xml:space="preserve">Female</t>
  </si>
  <si>
    <t xml:space="preserve">Mealing 2016</t>
  </si>
  <si>
    <t xml:space="preserve">ICD</t>
  </si>
  <si>
    <t xml:space="preserve">Friedman 2017</t>
  </si>
  <si>
    <t xml:space="preserve">Figuero 2020</t>
  </si>
  <si>
    <t xml:space="preserve">Lindeberg 2022</t>
  </si>
  <si>
    <t xml:space="preserve">Chiu 2022</t>
  </si>
  <si>
    <t xml:space="preserve">Karacam 2024</t>
  </si>
  <si>
    <t xml:space="preserve">Curtis 2003</t>
  </si>
  <si>
    <t xml:space="preserve">Zhang 2015</t>
  </si>
  <si>
    <t xml:space="preserve">Gerhard 2013</t>
  </si>
  <si>
    <t xml:space="preserve">Goldstein 2019</t>
  </si>
  <si>
    <t xml:space="preserve">Mean HR (mortality):</t>
  </si>
  <si>
    <t xml:space="preserve">Mean HR (hospitalization):</t>
  </si>
  <si>
    <t xml:space="preserve"># CRT studies:</t>
  </si>
  <si>
    <t xml:space="preserve"># ICD studies:</t>
  </si>
  <si>
    <t xml:space="preserve">MORTALITY RESULTS — Pooled HR by Subgroup</t>
  </si>
  <si>
    <t xml:space="preserve">All-cause mortality. Hazard ratio with 95% confidence interval, per subgroup (Results section).</t>
  </si>
  <si>
    <t xml:space="preserve">Subgroup</t>
  </si>
  <si>
    <t xml:space="preserve">HR</t>
  </si>
  <si>
    <t xml:space="preserve">95% CI Low</t>
  </si>
  <si>
    <t xml:space="preserve">95% CI High</t>
  </si>
  <si>
    <t xml:space="preserve">CI Width</t>
  </si>
  <si>
    <t xml:space="preserve">Significant?</t>
  </si>
  <si>
    <t xml:space="preserve">Direction</t>
  </si>
  <si>
    <t xml:space="preserve">NYHA II</t>
  </si>
  <si>
    <t xml:space="preserve">NYHA III</t>
  </si>
  <si>
    <t xml:space="preserve">NYHA IV</t>
  </si>
  <si>
    <t xml:space="preserve">NYHA (overall)</t>
  </si>
  <si>
    <t xml:space="preserve">LVEF &lt;35%</t>
  </si>
  <si>
    <t xml:space="preserve">LVEF ≥35%</t>
  </si>
  <si>
    <t xml:space="preserve">Age &lt;70</t>
  </si>
  <si>
    <t xml:space="preserve">Age ≥70</t>
  </si>
  <si>
    <t xml:space="preserve">HR &lt; 1 favours device therapy; HR &gt; 1 favours control. 'Significant' = 95% CI excludes 1.0.</t>
  </si>
  <si>
    <t xml:space="preserve">HOSPITALIZATION RESULTS — Pooled HR by Subgroup</t>
  </si>
  <si>
    <t xml:space="preserve">Hospitalization. Hazard ratio with 95% confidence interval, per subgroup (Results section).</t>
  </si>
  <si>
    <t xml:space="preserve">NYHA I/II</t>
  </si>
  <si>
    <t xml:space="preserve">NYHA III/IV</t>
  </si>
  <si>
    <t xml:space="preserve">HETEROGENEITY (I²)</t>
  </si>
  <si>
    <t xml:space="preserve">I² above 50% = substantial heterogeneity; above 75% = considerable. Random-effects model used throughout.</t>
  </si>
  <si>
    <t xml:space="preserve">Analysis</t>
  </si>
  <si>
    <t xml:space="preserve">I² (%)</t>
  </si>
  <si>
    <t xml:space="preserve">Interpretation</t>
  </si>
  <si>
    <t xml:space="preserve">Mortality – overall</t>
  </si>
  <si>
    <t xml:space="preserve">Mortality – NYHA III/IV</t>
  </si>
  <si>
    <t xml:space="preserve">Mortality – LVEF &lt;35%</t>
  </si>
  <si>
    <t xml:space="preserve">Mortality – LVEF ≥35%</t>
  </si>
  <si>
    <t xml:space="preserve">Hospitalization – overall</t>
  </si>
  <si>
    <t xml:space="preserve">Hospitalization – NYHA III/IV</t>
  </si>
  <si>
    <t xml:space="preserve">Hospitalization – LVEF &lt;35%</t>
  </si>
  <si>
    <t xml:space="preserve">Hospitalization – Male</t>
  </si>
  <si>
    <t xml:space="preserve">Hospitalization – Female</t>
  </si>
  <si>
    <t xml:space="preserve">GRADE — Certainty of Evidence (Table 2)</t>
  </si>
  <si>
    <t xml:space="preserve">Confidence in the body of evidence by outcome / subgroup.</t>
  </si>
  <si>
    <t xml:space="preserve">Outcome / Subgroup</t>
  </si>
  <si>
    <t xml:space="preserve">Certainty</t>
  </si>
  <si>
    <t xml:space="preserve">Rationale</t>
  </si>
  <si>
    <t xml:space="preserve">Heterogeneity (I²)</t>
  </si>
  <si>
    <t xml:space="preserve">Precision</t>
  </si>
  <si>
    <t xml:space="preserve">Publication Bias</t>
  </si>
  <si>
    <t xml:space="preserve">Mortality</t>
  </si>
  <si>
    <t xml:space="preserve">Moderate to High</t>
  </si>
  <si>
    <t xml:space="preserve">Most studies RCTs with large samples</t>
  </si>
  <si>
    <t xml:space="preserve">NYHA III/IV: 93%</t>
  </si>
  <si>
    <t xml:space="preserve">Consistent effect estimates</t>
  </si>
  <si>
    <t xml:space="preserve">Minimal funnel asymmetry; some for gender</t>
  </si>
  <si>
    <t xml:space="preserve">Consistent in NYHA III/IV and LVEF &lt;35%</t>
  </si>
  <si>
    <t xml:space="preserve">LVEF &lt;35%: 94%</t>
  </si>
  <si>
    <t xml:space="preserve">Narrower CI in fixed-effects model</t>
  </si>
  <si>
    <t xml:space="preserve">Hospitalization</t>
  </si>
  <si>
    <t xml:space="preserve">Moderate</t>
  </si>
  <si>
    <t xml:space="preserve">Mixed quality studies</t>
  </si>
  <si>
    <t xml:space="preserve">NYHA III/IV: 76%</t>
  </si>
  <si>
    <t xml:space="preserve">Tight CIs in fixed-effects model</t>
  </si>
  <si>
    <t xml:space="preserve">Asymmetry, esp. gender-based</t>
  </si>
  <si>
    <t xml:space="preserve">Consistent in NYHA &amp; LVEF subgroups</t>
  </si>
  <si>
    <t xml:space="preserve">LVEF &lt;35%: 74%</t>
  </si>
  <si>
    <t xml:space="preserve">High</t>
  </si>
  <si>
    <t xml:space="preserve">Consistent and precise results</t>
  </si>
  <si>
    <t xml:space="preserve">93%</t>
  </si>
  <si>
    <t xml:space="preserve">High precision</t>
  </si>
  <si>
    <t xml:space="preserve">Minimal publication bias</t>
  </si>
  <si>
    <t xml:space="preserve">Strong evidence for mortality reduction</t>
  </si>
  <si>
    <t xml:space="preserve">94%</t>
  </si>
  <si>
    <t xml:space="preserve">Narrow CIs in fixed-effects model</t>
  </si>
  <si>
    <t xml:space="preserve">Benefit less clear for LVEF ≥35%</t>
  </si>
  <si>
    <t xml:space="preserve">Wider CIs than LVEF &lt;35%</t>
  </si>
  <si>
    <t xml:space="preserve">Consistent and precise effect sizes</t>
  </si>
  <si>
    <t xml:space="preserve">Greater variability in effect sizes</t>
  </si>
  <si>
    <t xml:space="preserve">Less precision than younger group</t>
  </si>
  <si>
    <t xml:space="preserve">Gender (Female)</t>
  </si>
  <si>
    <t xml:space="preserve">Low to Moderate</t>
  </si>
  <si>
    <t xml:space="preserve">Funnel asymmetry; fewer gender-specific studies</t>
  </si>
  <si>
    <t xml:space="preserve">Lower precision in female outcomes</t>
  </si>
  <si>
    <t xml:space="preserve">Possible publication bias (female)</t>
  </si>
  <si>
    <t xml:space="preserve">Gender (Male)</t>
  </si>
  <si>
    <t xml:space="preserve">Consistent estimates; larger studies</t>
  </si>
  <si>
    <t xml:space="preserve">ECONOMIC EVALUATION — SWOT &amp; Market</t>
  </si>
  <si>
    <t xml:space="preserve">Business case for the CRT / ICD device market (dissertation economic section).</t>
  </si>
  <si>
    <t xml:space="preserve">Strengths</t>
  </si>
  <si>
    <t xml:space="preserve">Weaknesses</t>
  </si>
  <si>
    <t xml:space="preserve">•  Proven clinical efficacy (COMPANION, CARE-HF, MADIT) – improved survival and fewer hospitalizations</t>
  </si>
  <si>
    <t xml:space="preserve">•  High initial device and implantation cost limits access in low-income settings</t>
  </si>
  <si>
    <t xml:space="preserve">•  High barriers to entry – heavy regulation, R&amp;D and patent portfolios protect incumbents</t>
  </si>
  <si>
    <t xml:space="preserve">•  Complication risk – infection, lead dislodgement, inappropriate shocks, revision surgery</t>
  </si>
  <si>
    <t xml:space="preserve">•  Established and growing demand from ageing populations with heart failure</t>
  </si>
  <si>
    <t xml:space="preserve">•  Limited eligible population (mainly HFrEF, wide QRS) narrows the addressable market</t>
  </si>
  <si>
    <t xml:space="preserve">•  Long-term cost savings from fewer readmissions; supported by reimbursement (e.g. Medicare)</t>
  </si>
  <si>
    <t xml:space="preserve">•  Benefit may diminish in older patients</t>
  </si>
  <si>
    <t xml:space="preserve">Opportunities</t>
  </si>
  <si>
    <t xml:space="preserve">Threats</t>
  </si>
  <si>
    <t xml:space="preserve">•  Next-generation devices – better batteries, leadless pacemakers, subcutaneous ICDs</t>
  </si>
  <si>
    <t xml:space="preserve">•  Competition from advancing pharmacotherapy (ARNIs, SGLT2 inhibitors, new beta-blockers)</t>
  </si>
  <si>
    <t xml:space="preserve">•  Expansion into emerging markets (India, China, Brazil) as healthcare spend rises</t>
  </si>
  <si>
    <t xml:space="preserve">•  Increasingly stringent regulation (FDA, EU MDR) slows launches and raises cost</t>
  </si>
  <si>
    <t xml:space="preserve">•  Remote monitoring, AI and machine learning to predict failures and improve care</t>
  </si>
  <si>
    <t xml:space="preserve">•  Economic downturns and constrained healthcare budgets reduce demand for high-cost devices</t>
  </si>
  <si>
    <t xml:space="preserve">•  Demographic shift – ageing population increases long-term demand</t>
  </si>
  <si>
    <t xml:space="preserve">•  Device failures and recalls – financial, legal and reputational risk</t>
  </si>
  <si>
    <t xml:space="preserve">KEY MARKET PLAYERS</t>
  </si>
  <si>
    <t xml:space="preserve">Medtronic</t>
  </si>
  <si>
    <t xml:space="preserve">Largest player in the cardiac device market; broad CRT and ICD portfolio; reputation for innovation and quality.</t>
  </si>
  <si>
    <t xml:space="preserve">Abbott Laboratories</t>
  </si>
  <si>
    <t xml:space="preserve">Major presence via St. Jude Medical acquisition; advanced technology for heart failure patients.</t>
  </si>
  <si>
    <t xml:space="preserve">Boston Scientific</t>
  </si>
  <si>
    <t xml:space="preserve">Known for advanced ICD and CRT-D devices; strong global presence and heavy R&amp;D investment.</t>
  </si>
  <si>
    <t xml:space="preserve">Biotronik</t>
  </si>
  <si>
    <t xml:space="preserve">European leader; focus on technology and remote monitoring for CRT and ICD devices.</t>
  </si>
  <si>
    <t xml:space="preserve">POOLED ESTIMATES IN SEVERE HF (Discussion, random effects)</t>
  </si>
  <si>
    <t xml:space="preserve">Estimate</t>
  </si>
  <si>
    <t xml:space="preserve">CI Low</t>
  </si>
  <si>
    <t xml:space="preserve">CI High</t>
  </si>
  <si>
    <t xml:space="preserve">All-cause mortality (NYHA III/IV &amp; LVEF &lt;35%)</t>
  </si>
  <si>
    <t xml:space="preserve">Hospitalization (NYHA III/IV &amp; LVEF &lt;35%)</t>
  </si>
  <si>
    <t xml:space="preserve">FIGURE GALLERY</t>
  </si>
  <si>
    <t xml:space="preserve">High-resolution charts (identical PNGs live in /figures for the GitHub README).</t>
  </si>
  <si>
    <t xml:space="preserve">Forest plot — all-cause mortality</t>
  </si>
  <si>
    <t xml:space="preserve">Forest plot — hospitalization</t>
  </si>
  <si>
    <t xml:space="preserve">Mortality vs hospitalization HR</t>
  </si>
  <si>
    <t xml:space="preserve">Study-level effect sizes</t>
  </si>
  <si>
    <t xml:space="preserve">Study composition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</si>
</sst>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"/>
    <numFmt numFmtId="167" formatCode="General"/>
    <numFmt numFmtId="168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E7D51"/>
      <name val="Arial"/>
      <family val="0"/>
      <charset val="1"/>
    </font>
    <font>
      <b val="true"/>
      <sz val="9"/>
      <color rgb="FFE1A1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D6E0F0"/>
        <bgColor rgb="FFD9D9D9"/>
      </patternFill>
    </fill>
    <fill>
      <patternFill patternType="solid">
        <fgColor rgb="FF2E7D51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2E5496"/>
        <bgColor rgb="FF1F3A5F"/>
      </patternFill>
    </fill>
    <fill>
      <patternFill patternType="solid">
        <fgColor rgb="FFE1A1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1A100"/>
      <rgbColor rgb="FFFF6600"/>
      <rgbColor rgb="FF4F81BD"/>
      <rgbColor rgb="FF878787"/>
      <rgbColor rgb="FF1F3A5F"/>
      <rgbColor rgb="FF2E7D51"/>
      <rgbColor rgb="FF003300"/>
      <rgbColor rgb="FF333300"/>
      <rgbColor rgb="FFC0392B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HR for All-Cause Mortality by Study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'Study Data'!F4</c:f>
              <c:strCache>
                <c:ptCount val="1"/>
                <c:pt idx="0">
                  <c:v>HR Mortality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'Study Data'!$A$5:$A$16</c:f>
              <c:strCache>
                <c:ptCount val="12"/>
                <c:pt idx="0">
                  <c:v>Cotte 2020</c:v>
                </c:pt>
                <c:pt idx="1">
                  <c:v>Kronborg 2014</c:v>
                </c:pt>
                <c:pt idx="2">
                  <c:v>Mealing 2016</c:v>
                </c:pt>
                <c:pt idx="3">
                  <c:v>Friedman 2017</c:v>
                </c:pt>
                <c:pt idx="4">
                  <c:v>Figuero 2020</c:v>
                </c:pt>
                <c:pt idx="5">
                  <c:v>Lindeberg 2022</c:v>
                </c:pt>
                <c:pt idx="6">
                  <c:v>Chiu 2022</c:v>
                </c:pt>
                <c:pt idx="7">
                  <c:v>Karacam 2024</c:v>
                </c:pt>
                <c:pt idx="8">
                  <c:v>Curtis 2003</c:v>
                </c:pt>
                <c:pt idx="9">
                  <c:v>Zhang 2015</c:v>
                </c:pt>
                <c:pt idx="10">
                  <c:v>Gerhard 2013</c:v>
                </c:pt>
                <c:pt idx="11">
                  <c:v>Goldstein 2019</c:v>
                </c:pt>
              </c:strCache>
            </c:strRef>
          </c:cat>
          <c:val>
            <c:numRef>
              <c:f>'Study Data'!$F$5:$F$16</c:f>
              <c:numCache>
                <c:formatCode>0.00</c:formatCode>
                <c:ptCount val="12"/>
                <c:pt idx="0">
                  <c:v>1.49930250005677</c:v>
                </c:pt>
                <c:pt idx="1">
                  <c:v>1.00010000500017</c:v>
                </c:pt>
                <c:pt idx="2">
                  <c:v>0.770280919615079</c:v>
                </c:pt>
                <c:pt idx="3">
                  <c:v>0.54936072222743</c:v>
                </c:pt>
                <c:pt idx="4">
                  <c:v>1.80038404413978</c:v>
                </c:pt>
                <c:pt idx="5">
                  <c:v>1.36875285441794</c:v>
                </c:pt>
                <c:pt idx="6">
                  <c:v>0.500073595695768</c:v>
                </c:pt>
                <c:pt idx="7">
                  <c:v>0.890475223297473</c:v>
                </c:pt>
                <c:pt idx="8">
                  <c:v>1.09998880227224</c:v>
                </c:pt>
                <c:pt idx="9">
                  <c:v>0.329999876092155</c:v>
                </c:pt>
                <c:pt idx="10">
                  <c:v>1.17000029389273</c:v>
                </c:pt>
                <c:pt idx="11">
                  <c:v>0.818239661968201</c:v>
                </c:pt>
              </c:numCache>
            </c:numRef>
          </c:val>
        </c:ser>
        <c:gapWidth val="150"/>
        <c:overlap val="0"/>
        <c:axId val="50738389"/>
        <c:axId val="18275086"/>
      </c:barChart>
      <c:catAx>
        <c:axId val="507383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Hazard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5086"/>
        <c:crosses val="autoZero"/>
        <c:auto val="1"/>
        <c:lblAlgn val="ctr"/>
        <c:lblOffset val="100"/>
        <c:noMultiLvlLbl val="0"/>
      </c:catAx>
      <c:valAx>
        <c:axId val="18275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383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All-Cause Mortality — Pooled HR by Subgroup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'Mortality Results'!B4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'Mortality Results'!$A$5:$A$14</c:f>
              <c:strCache>
                <c:ptCount val="10"/>
                <c:pt idx="0">
                  <c:v>NYHA II</c:v>
                </c:pt>
                <c:pt idx="1">
                  <c:v>NYHA III</c:v>
                </c:pt>
                <c:pt idx="2">
                  <c:v>NYHA IV</c:v>
                </c:pt>
                <c:pt idx="3">
                  <c:v>NYHA (overall)</c:v>
                </c:pt>
                <c:pt idx="4">
                  <c:v>LVEF &lt;35%</c:v>
                </c:pt>
                <c:pt idx="5">
                  <c:v>LVEF ≥35%</c:v>
                </c:pt>
                <c:pt idx="6">
                  <c:v>Age &lt;70</c:v>
                </c:pt>
                <c:pt idx="7">
                  <c:v>Age ≥70</c:v>
                </c:pt>
                <c:pt idx="8">
                  <c:v>Female</c:v>
                </c:pt>
                <c:pt idx="9">
                  <c:v>Male</c:v>
                </c:pt>
              </c:strCache>
            </c:strRef>
          </c:cat>
          <c:val>
            <c:numRef>
              <c:f>'Mortality Results'!$B$5:$B$14</c:f>
              <c:numCache>
                <c:formatCode>0.00</c:formatCode>
                <c:ptCount val="10"/>
                <c:pt idx="0">
                  <c:v>0.77</c:v>
                </c:pt>
                <c:pt idx="1">
                  <c:v>0.97</c:v>
                </c:pt>
                <c:pt idx="2">
                  <c:v>1.38</c:v>
                </c:pt>
                <c:pt idx="3">
                  <c:v>0.96</c:v>
                </c:pt>
                <c:pt idx="4">
                  <c:v>1.02</c:v>
                </c:pt>
                <c:pt idx="5">
                  <c:v>0.96</c:v>
                </c:pt>
                <c:pt idx="6">
                  <c:v>1.02</c:v>
                </c:pt>
                <c:pt idx="7">
                  <c:v>1</c:v>
                </c:pt>
                <c:pt idx="8">
                  <c:v>1.12</c:v>
                </c:pt>
                <c:pt idx="9">
                  <c:v>1.05</c:v>
                </c:pt>
              </c:numCache>
            </c:numRef>
          </c:val>
        </c:ser>
        <c:gapWidth val="150"/>
        <c:overlap val="0"/>
        <c:axId val="5026383"/>
        <c:axId val="36458877"/>
      </c:barChart>
      <c:catAx>
        <c:axId val="502638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Hazard Ratio (reference line at HR = 1.0)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58877"/>
        <c:crosses val="autoZero"/>
        <c:auto val="1"/>
        <c:lblAlgn val="ctr"/>
        <c:lblOffset val="100"/>
        <c:noMultiLvlLbl val="0"/>
      </c:catAx>
      <c:valAx>
        <c:axId val="36458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6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Hospitalization — Pooled HR by Subgroup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'Hospitalization Results'!B4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'Hospitalization Results'!$A$5:$A$12</c:f>
              <c:strCache>
                <c:ptCount val="8"/>
                <c:pt idx="0">
                  <c:v>NYHA I/II</c:v>
                </c:pt>
                <c:pt idx="1">
                  <c:v>NYHA III/IV</c:v>
                </c:pt>
                <c:pt idx="2">
                  <c:v>NYHA (overall)</c:v>
                </c:pt>
                <c:pt idx="3">
                  <c:v>LVEF &lt;35%</c:v>
                </c:pt>
                <c:pt idx="4">
                  <c:v>Age &lt;70</c:v>
                </c:pt>
                <c:pt idx="5">
                  <c:v>Age ≥70</c:v>
                </c:pt>
                <c:pt idx="6">
                  <c:v>Female</c:v>
                </c:pt>
                <c:pt idx="7">
                  <c:v>Male</c:v>
                </c:pt>
              </c:strCache>
            </c:strRef>
          </c:cat>
          <c:val>
            <c:numRef>
              <c:f>'Hospitalization Results'!$B$5:$B$12</c:f>
              <c:numCache>
                <c:formatCode>0.00</c:formatCode>
                <c:ptCount val="8"/>
                <c:pt idx="0">
                  <c:v>0.85</c:v>
                </c:pt>
                <c:pt idx="1">
                  <c:v>0.96</c:v>
                </c:pt>
                <c:pt idx="2">
                  <c:v>0.92</c:v>
                </c:pt>
                <c:pt idx="3">
                  <c:v>0.85</c:v>
                </c:pt>
                <c:pt idx="4">
                  <c:v>0.87</c:v>
                </c:pt>
                <c:pt idx="5">
                  <c:v>0.91</c:v>
                </c:pt>
                <c:pt idx="6">
                  <c:v>0.71</c:v>
                </c:pt>
                <c:pt idx="7">
                  <c:v>1.02</c:v>
                </c:pt>
              </c:numCache>
            </c:numRef>
          </c:val>
        </c:ser>
        <c:gapWidth val="150"/>
        <c:overlap val="0"/>
        <c:axId val="93273746"/>
        <c:axId val="42980764"/>
      </c:barChart>
      <c:catAx>
        <c:axId val="932737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Hazard Ratio (reference line at HR = 1.0)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80764"/>
        <c:crosses val="autoZero"/>
        <c:auto val="1"/>
        <c:lblAlgn val="ctr"/>
        <c:lblOffset val="100"/>
        <c:noMultiLvlLbl val="0"/>
      </c:catAx>
      <c:valAx>
        <c:axId val="42980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73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Between-Study Heterogeneity (I²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Heterogeneity!B4</c:f>
              <c:strCache>
                <c:ptCount val="1"/>
                <c:pt idx="0">
                  <c:v>I²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Heterogeneity!$A$5:$A$13</c:f>
              <c:strCache>
                <c:ptCount val="9"/>
                <c:pt idx="0">
                  <c:v>Mortality – overall</c:v>
                </c:pt>
                <c:pt idx="1">
                  <c:v>Mortality – NYHA III/IV</c:v>
                </c:pt>
                <c:pt idx="2">
                  <c:v>Mortality – LVEF &lt;35%</c:v>
                </c:pt>
                <c:pt idx="3">
                  <c:v>Mortality – LVEF ≥35%</c:v>
                </c:pt>
                <c:pt idx="4">
                  <c:v>Hospitalization – overall</c:v>
                </c:pt>
                <c:pt idx="5">
                  <c:v>Hospitalization – NYHA III/IV</c:v>
                </c:pt>
                <c:pt idx="6">
                  <c:v>Hospitalization – LVEF &lt;35%</c:v>
                </c:pt>
                <c:pt idx="7">
                  <c:v>Hospitalization – Male</c:v>
                </c:pt>
                <c:pt idx="8">
                  <c:v>Hospitalization – Female</c:v>
                </c:pt>
              </c:strCache>
            </c:strRef>
          </c:cat>
          <c:val>
            <c:numRef>
              <c:f>Heterogeneity!$B$5:$B$13</c:f>
              <c:numCache>
                <c:formatCode>0.0</c:formatCode>
                <c:ptCount val="9"/>
                <c:pt idx="0">
                  <c:v>58</c:v>
                </c:pt>
                <c:pt idx="1">
                  <c:v>93</c:v>
                </c:pt>
                <c:pt idx="2">
                  <c:v>72.6</c:v>
                </c:pt>
                <c:pt idx="3">
                  <c:v>97</c:v>
                </c:pt>
                <c:pt idx="4">
                  <c:v>73</c:v>
                </c:pt>
                <c:pt idx="5">
                  <c:v>76</c:v>
                </c:pt>
                <c:pt idx="6">
                  <c:v>74</c:v>
                </c:pt>
                <c:pt idx="7">
                  <c:v>86</c:v>
                </c:pt>
                <c:pt idx="8">
                  <c:v>83</c:v>
                </c:pt>
              </c:numCache>
            </c:numRef>
          </c:val>
        </c:ser>
        <c:gapWidth val="150"/>
        <c:overlap val="0"/>
        <c:axId val="29949111"/>
        <c:axId val="29204856"/>
      </c:barChart>
      <c:catAx>
        <c:axId val="2994911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I²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04856"/>
        <c:crosses val="autoZero"/>
        <c:auto val="1"/>
        <c:lblAlgn val="ctr"/>
        <c:lblOffset val="100"/>
        <c:noMultiLvlLbl val="0"/>
      </c:catAx>
      <c:valAx>
        <c:axId val="29204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49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6</xdr:col>
      <xdr:colOff>480960</xdr:colOff>
      <xdr:row>39</xdr:row>
      <xdr:rowOff>1080</xdr:rowOff>
    </xdr:to>
    <xdr:graphicFrame>
      <xdr:nvGraphicFramePr>
        <xdr:cNvPr id="0" name="Chart 1"/>
        <xdr:cNvGraphicFramePr/>
      </xdr:nvGraphicFramePr>
      <xdr:xfrm>
        <a:off x="0" y="44863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198720</xdr:colOff>
      <xdr:row>34</xdr:row>
      <xdr:rowOff>170640</xdr:rowOff>
    </xdr:to>
    <xdr:graphicFrame>
      <xdr:nvGraphicFramePr>
        <xdr:cNvPr id="1" name="Chart 1"/>
        <xdr:cNvGraphicFramePr/>
      </xdr:nvGraphicFramePr>
      <xdr:xfrm>
        <a:off x="0" y="334332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198720</xdr:colOff>
      <xdr:row>32</xdr:row>
      <xdr:rowOff>170640</xdr:rowOff>
    </xdr:to>
    <xdr:graphicFrame>
      <xdr:nvGraphicFramePr>
        <xdr:cNvPr id="2" name="Chart 1"/>
        <xdr:cNvGraphicFramePr/>
      </xdr:nvGraphicFramePr>
      <xdr:xfrm>
        <a:off x="0" y="2962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56160</xdr:colOff>
      <xdr:row>33</xdr:row>
      <xdr:rowOff>170640</xdr:rowOff>
    </xdr:to>
    <xdr:graphicFrame>
      <xdr:nvGraphicFramePr>
        <xdr:cNvPr id="3" name="Chart 1"/>
        <xdr:cNvGraphicFramePr/>
      </xdr:nvGraphicFramePr>
      <xdr:xfrm>
        <a:off x="0" y="3152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519480</xdr:colOff>
      <xdr:row>38</xdr:row>
      <xdr:rowOff>9000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1057320"/>
          <a:ext cx="7857720" cy="648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12</xdr:col>
      <xdr:colOff>519480</xdr:colOff>
      <xdr:row>58</xdr:row>
      <xdr:rowOff>123480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0" y="6010200"/>
          <a:ext cx="7857720" cy="545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12</xdr:col>
      <xdr:colOff>519480</xdr:colOff>
      <xdr:row>78</xdr:row>
      <xdr:rowOff>142920</xdr:rowOff>
    </xdr:to>
    <xdr:pic>
      <xdr:nvPicPr>
        <xdr:cNvPr id="6" name="Image 3" descr="Picture"/>
        <xdr:cNvPicPr/>
      </xdr:nvPicPr>
      <xdr:blipFill>
        <a:blip r:embed="rId3"/>
        <a:stretch/>
      </xdr:blipFill>
      <xdr:spPr>
        <a:xfrm>
          <a:off x="0" y="10963440"/>
          <a:ext cx="7857720" cy="433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12</xdr:col>
      <xdr:colOff>519480</xdr:colOff>
      <xdr:row>105</xdr:row>
      <xdr:rowOff>132840</xdr:rowOff>
    </xdr:to>
    <xdr:pic>
      <xdr:nvPicPr>
        <xdr:cNvPr id="7" name="Image 4" descr="Picture"/>
        <xdr:cNvPicPr/>
      </xdr:nvPicPr>
      <xdr:blipFill>
        <a:blip r:embed="rId4"/>
        <a:stretch/>
      </xdr:blipFill>
      <xdr:spPr>
        <a:xfrm>
          <a:off x="0" y="15916320"/>
          <a:ext cx="7857720" cy="451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12</xdr:col>
      <xdr:colOff>519480</xdr:colOff>
      <xdr:row>131</xdr:row>
      <xdr:rowOff>132840</xdr:rowOff>
    </xdr:to>
    <xdr:pic>
      <xdr:nvPicPr>
        <xdr:cNvPr id="8" name="Image 5" descr="Picture"/>
        <xdr:cNvPicPr/>
      </xdr:nvPicPr>
      <xdr:blipFill>
        <a:blip r:embed="rId5"/>
        <a:stretch/>
      </xdr:blipFill>
      <xdr:spPr>
        <a:xfrm>
          <a:off x="0" y="20869200"/>
          <a:ext cx="7857720" cy="451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12</xdr:col>
      <xdr:colOff>62280</xdr:colOff>
      <xdr:row>154</xdr:row>
      <xdr:rowOff>37800</xdr:rowOff>
    </xdr:to>
    <xdr:pic>
      <xdr:nvPicPr>
        <xdr:cNvPr id="9" name="Image 6" descr="Picture"/>
        <xdr:cNvPicPr/>
      </xdr:nvPicPr>
      <xdr:blipFill>
        <a:blip r:embed="rId6"/>
        <a:stretch/>
      </xdr:blipFill>
      <xdr:spPr>
        <a:xfrm>
          <a:off x="0" y="25822440"/>
          <a:ext cx="7400520" cy="3847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5"/>
  </cols>
  <sheetData>
    <row r="2" customFormat="false" ht="25.5" hidden="false" customHeight="true" outlineLevel="0" collapsed="false">
      <c r="B2" s="1" t="s">
        <v>0</v>
      </c>
      <c r="C2" s="1"/>
    </row>
    <row r="3" customFormat="false" ht="15" hidden="false" customHeight="true" outlineLevel="0" collapsed="false">
      <c r="B3" s="2" t="s">
        <v>1</v>
      </c>
      <c r="C3" s="2"/>
    </row>
    <row r="5" customFormat="false" ht="15" hidden="false" customHeight="true" outlineLevel="0" collapsed="false">
      <c r="B5" s="3" t="s">
        <v>2</v>
      </c>
      <c r="C5" s="3"/>
    </row>
    <row r="6" customFormat="false" ht="45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6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2" customFormat="false" ht="30" hidden="false" customHeight="true" outlineLevel="0" collapsed="false">
      <c r="B12" s="4" t="s">
        <v>15</v>
      </c>
      <c r="C12" s="5" t="s">
        <v>16</v>
      </c>
    </row>
    <row r="14" customFormat="false" ht="15" hidden="false" customHeight="true" outlineLevel="0" collapsed="false">
      <c r="B14" s="3" t="s">
        <v>17</v>
      </c>
      <c r="C14" s="3"/>
    </row>
    <row r="15" customFormat="false" ht="23.85" hidden="false" customHeight="false" outlineLevel="0" collapsed="false">
      <c r="B15" s="6" t="s">
        <v>18</v>
      </c>
      <c r="C15" s="5" t="s">
        <v>19</v>
      </c>
    </row>
    <row r="16" customFormat="false" ht="15" hidden="false" customHeight="false" outlineLevel="0" collapsed="false">
      <c r="B16" s="6" t="s">
        <v>20</v>
      </c>
      <c r="C16" s="5" t="s">
        <v>21</v>
      </c>
    </row>
    <row r="17" customFormat="false" ht="15" hidden="false" customHeight="false" outlineLevel="0" collapsed="false">
      <c r="B17" s="6" t="s">
        <v>22</v>
      </c>
      <c r="C17" s="5" t="s">
        <v>23</v>
      </c>
    </row>
    <row r="18" customFormat="false" ht="15" hidden="false" customHeight="false" outlineLevel="0" collapsed="false">
      <c r="B18" s="6" t="s">
        <v>24</v>
      </c>
      <c r="C18" s="5" t="s">
        <v>25</v>
      </c>
    </row>
    <row r="19" customFormat="false" ht="15" hidden="false" customHeight="false" outlineLevel="0" collapsed="false">
      <c r="B19" s="6" t="s">
        <v>26</v>
      </c>
      <c r="C19" s="5" t="s">
        <v>27</v>
      </c>
    </row>
    <row r="20" customFormat="false" ht="15" hidden="false" customHeight="false" outlineLevel="0" collapsed="false">
      <c r="B20" s="6" t="s">
        <v>28</v>
      </c>
      <c r="C20" s="5" t="s">
        <v>29</v>
      </c>
    </row>
    <row r="21" customFormat="false" ht="15" hidden="false" customHeight="false" outlineLevel="0" collapsed="false">
      <c r="B21" s="6" t="s">
        <v>30</v>
      </c>
      <c r="C21" s="5" t="s">
        <v>31</v>
      </c>
    </row>
    <row r="23" customFormat="false" ht="43.5" hidden="false" customHeight="true" outlineLevel="0" collapsed="false">
      <c r="B23" s="7" t="s">
        <v>32</v>
      </c>
      <c r="C23" s="7"/>
    </row>
  </sheetData>
  <mergeCells count="5">
    <mergeCell ref="B2:C2"/>
    <mergeCell ref="B3:C3"/>
    <mergeCell ref="B5:C5"/>
    <mergeCell ref="B14:C14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10"/>
  </cols>
  <sheetData>
    <row r="1" customFormat="false" ht="27.75" hidden="false" customHeight="true" outlineLevel="0" collapsed="false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5.5" hidden="false" customHeight="true" outlineLevel="0" collapsed="false">
      <c r="A2" s="9" t="s">
        <v>34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15" hidden="false" customHeight="fals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 t="s">
        <v>45</v>
      </c>
    </row>
    <row r="5" customFormat="false" ht="15" hidden="false" customHeight="false" outlineLevel="0" collapsed="false">
      <c r="A5" s="11" t="s">
        <v>46</v>
      </c>
      <c r="B5" s="12" t="s">
        <v>47</v>
      </c>
      <c r="C5" s="12" t="s">
        <v>48</v>
      </c>
      <c r="D5" s="13" t="n">
        <v>0.405</v>
      </c>
      <c r="E5" s="13" t="n">
        <v>0.324</v>
      </c>
      <c r="F5" s="14" t="n">
        <f aca="false">EXP(D5)</f>
        <v>1.49930250005677</v>
      </c>
      <c r="G5" s="14" t="n">
        <f aca="false">EXP(E5)</f>
        <v>1.38264730711948</v>
      </c>
      <c r="H5" s="12" t="s">
        <v>49</v>
      </c>
      <c r="I5" s="12" t="s">
        <v>50</v>
      </c>
      <c r="J5" s="12" t="s">
        <v>51</v>
      </c>
      <c r="K5" s="12" t="s">
        <v>52</v>
      </c>
    </row>
    <row r="6" customFormat="false" ht="15" hidden="false" customHeight="false" outlineLevel="0" collapsed="false">
      <c r="A6" s="15" t="s">
        <v>53</v>
      </c>
      <c r="B6" s="16" t="s">
        <v>47</v>
      </c>
      <c r="C6" s="16" t="s">
        <v>54</v>
      </c>
      <c r="D6" s="17" t="n">
        <v>0.0001</v>
      </c>
      <c r="E6" s="17" t="n">
        <v>0.9915</v>
      </c>
      <c r="F6" s="18" t="n">
        <f aca="false">EXP(D6)</f>
        <v>1.00010000500017</v>
      </c>
      <c r="G6" s="18" t="n">
        <f aca="false">EXP(E6)</f>
        <v>2.69527435321096</v>
      </c>
      <c r="H6" s="16" t="s">
        <v>55</v>
      </c>
      <c r="I6" s="16" t="s">
        <v>56</v>
      </c>
      <c r="J6" s="16" t="s">
        <v>57</v>
      </c>
      <c r="K6" s="16" t="s">
        <v>58</v>
      </c>
    </row>
    <row r="7" customFormat="false" ht="15" hidden="false" customHeight="false" outlineLevel="0" collapsed="false">
      <c r="A7" s="11" t="s">
        <v>59</v>
      </c>
      <c r="B7" s="12" t="s">
        <v>60</v>
      </c>
      <c r="C7" s="12" t="s">
        <v>48</v>
      </c>
      <c r="D7" s="13" t="n">
        <v>-0.261</v>
      </c>
      <c r="E7" s="13" t="n">
        <v>0.066</v>
      </c>
      <c r="F7" s="14" t="n">
        <f aca="false">EXP(D7)</f>
        <v>0.770280919615079</v>
      </c>
      <c r="G7" s="14" t="n">
        <f aca="false">EXP(E7)</f>
        <v>1.06822671716599</v>
      </c>
      <c r="H7" s="12" t="s">
        <v>49</v>
      </c>
      <c r="I7" s="12" t="s">
        <v>56</v>
      </c>
      <c r="J7" s="12" t="s">
        <v>51</v>
      </c>
      <c r="K7" s="12" t="s">
        <v>52</v>
      </c>
    </row>
    <row r="8" customFormat="false" ht="15" hidden="false" customHeight="false" outlineLevel="0" collapsed="false">
      <c r="A8" s="15" t="s">
        <v>61</v>
      </c>
      <c r="B8" s="16" t="s">
        <v>60</v>
      </c>
      <c r="C8" s="16" t="s">
        <v>54</v>
      </c>
      <c r="D8" s="17" t="n">
        <v>-0.599</v>
      </c>
      <c r="E8" s="17" t="n">
        <v>0.128</v>
      </c>
      <c r="F8" s="18" t="n">
        <f aca="false">EXP(D8)</f>
        <v>0.54936072222743</v>
      </c>
      <c r="G8" s="18" t="n">
        <f aca="false">EXP(E8)</f>
        <v>1.13655300269706</v>
      </c>
      <c r="H8" s="16" t="s">
        <v>55</v>
      </c>
      <c r="I8" s="16" t="s">
        <v>50</v>
      </c>
      <c r="J8" s="16" t="s">
        <v>57</v>
      </c>
      <c r="K8" s="16" t="s">
        <v>58</v>
      </c>
    </row>
    <row r="9" customFormat="false" ht="15" hidden="false" customHeight="false" outlineLevel="0" collapsed="false">
      <c r="A9" s="11" t="s">
        <v>62</v>
      </c>
      <c r="B9" s="12" t="s">
        <v>47</v>
      </c>
      <c r="C9" s="12" t="s">
        <v>48</v>
      </c>
      <c r="D9" s="13" t="n">
        <v>0.588</v>
      </c>
      <c r="E9" s="13" t="n">
        <v>0.536</v>
      </c>
      <c r="F9" s="14" t="n">
        <f aca="false">EXP(D9)</f>
        <v>1.80038404413978</v>
      </c>
      <c r="G9" s="14" t="n">
        <f aca="false">EXP(E9)</f>
        <v>1.70915654450523</v>
      </c>
      <c r="H9" s="12" t="s">
        <v>55</v>
      </c>
      <c r="I9" s="12" t="s">
        <v>50</v>
      </c>
      <c r="J9" s="12" t="s">
        <v>51</v>
      </c>
      <c r="K9" s="12" t="s">
        <v>58</v>
      </c>
    </row>
    <row r="10" customFormat="false" ht="15" hidden="false" customHeight="false" outlineLevel="0" collapsed="false">
      <c r="A10" s="15" t="s">
        <v>63</v>
      </c>
      <c r="B10" s="16" t="s">
        <v>47</v>
      </c>
      <c r="C10" s="16" t="s">
        <v>54</v>
      </c>
      <c r="D10" s="17" t="n">
        <v>0.3139</v>
      </c>
      <c r="E10" s="17" t="n">
        <v>0.1161</v>
      </c>
      <c r="F10" s="18" t="n">
        <f aca="false">EXP(D10)</f>
        <v>1.36875285441794</v>
      </c>
      <c r="G10" s="18" t="n">
        <f aca="false">EXP(E10)</f>
        <v>1.12310817733563</v>
      </c>
      <c r="H10" s="16" t="s">
        <v>49</v>
      </c>
      <c r="I10" s="16" t="s">
        <v>56</v>
      </c>
      <c r="J10" s="16" t="s">
        <v>57</v>
      </c>
      <c r="K10" s="16" t="s">
        <v>52</v>
      </c>
    </row>
    <row r="11" customFormat="false" ht="15" hidden="false" customHeight="false" outlineLevel="0" collapsed="false">
      <c r="A11" s="11" t="s">
        <v>64</v>
      </c>
      <c r="B11" s="12" t="s">
        <v>60</v>
      </c>
      <c r="C11" s="12" t="s">
        <v>54</v>
      </c>
      <c r="D11" s="13" t="n">
        <v>-0.693</v>
      </c>
      <c r="E11" s="13" t="n">
        <v>0.179</v>
      </c>
      <c r="F11" s="14" t="n">
        <f aca="false">EXP(D11)</f>
        <v>0.500073595695768</v>
      </c>
      <c r="G11" s="14" t="n">
        <f aca="false">EXP(E11)</f>
        <v>1.19602074416788</v>
      </c>
      <c r="H11" s="12" t="s">
        <v>49</v>
      </c>
      <c r="I11" s="12" t="s">
        <v>56</v>
      </c>
      <c r="J11" s="12" t="s">
        <v>51</v>
      </c>
      <c r="K11" s="12" t="s">
        <v>58</v>
      </c>
    </row>
    <row r="12" customFormat="false" ht="15" hidden="false" customHeight="false" outlineLevel="0" collapsed="false">
      <c r="A12" s="15" t="s">
        <v>65</v>
      </c>
      <c r="B12" s="16" t="s">
        <v>60</v>
      </c>
      <c r="C12" s="16" t="s">
        <v>48</v>
      </c>
      <c r="D12" s="17" t="n">
        <v>-0.116</v>
      </c>
      <c r="E12" s="17" t="n">
        <v>0.115</v>
      </c>
      <c r="F12" s="18" t="n">
        <f aca="false">EXP(D12)</f>
        <v>0.890475223297473</v>
      </c>
      <c r="G12" s="18" t="n">
        <f aca="false">EXP(E12)</f>
        <v>1.12187343757194</v>
      </c>
      <c r="H12" s="16" t="s">
        <v>55</v>
      </c>
      <c r="I12" s="16" t="s">
        <v>50</v>
      </c>
      <c r="J12" s="16" t="s">
        <v>57</v>
      </c>
      <c r="K12" s="16" t="s">
        <v>52</v>
      </c>
    </row>
    <row r="13" customFormat="false" ht="15" hidden="false" customHeight="false" outlineLevel="0" collapsed="false">
      <c r="A13" s="11" t="s">
        <v>66</v>
      </c>
      <c r="B13" s="12" t="s">
        <v>47</v>
      </c>
      <c r="C13" s="12" t="s">
        <v>48</v>
      </c>
      <c r="D13" s="13" t="n">
        <v>0.0953</v>
      </c>
      <c r="E13" s="13" t="n">
        <v>0.77</v>
      </c>
      <c r="F13" s="14" t="n">
        <f aca="false">EXP(D13)</f>
        <v>1.09998880227224</v>
      </c>
      <c r="G13" s="14" t="n">
        <f aca="false">EXP(E13)</f>
        <v>2.15976625378492</v>
      </c>
      <c r="H13" s="12" t="s">
        <v>55</v>
      </c>
      <c r="I13" s="12" t="s">
        <v>50</v>
      </c>
      <c r="J13" s="12" t="s">
        <v>57</v>
      </c>
      <c r="K13" s="12" t="s">
        <v>52</v>
      </c>
    </row>
    <row r="14" customFormat="false" ht="15" hidden="false" customHeight="false" outlineLevel="0" collapsed="false">
      <c r="A14" s="15" t="s">
        <v>67</v>
      </c>
      <c r="B14" s="16" t="s">
        <v>47</v>
      </c>
      <c r="C14" s="16" t="s">
        <v>54</v>
      </c>
      <c r="D14" s="17" t="n">
        <v>-1.108663</v>
      </c>
      <c r="E14" s="17" t="n">
        <v>0.105</v>
      </c>
      <c r="F14" s="18" t="n">
        <f aca="false">EXP(D14)</f>
        <v>0.329999876092155</v>
      </c>
      <c r="G14" s="18" t="n">
        <f aca="false">EXP(E14)</f>
        <v>1.11071061035571</v>
      </c>
      <c r="H14" s="16" t="s">
        <v>49</v>
      </c>
      <c r="I14" s="16" t="s">
        <v>56</v>
      </c>
      <c r="J14" s="16" t="s">
        <v>51</v>
      </c>
      <c r="K14" s="16" t="s">
        <v>58</v>
      </c>
    </row>
    <row r="15" customFormat="false" ht="15" hidden="false" customHeight="false" outlineLevel="0" collapsed="false">
      <c r="A15" s="11" t="s">
        <v>68</v>
      </c>
      <c r="B15" s="12" t="s">
        <v>60</v>
      </c>
      <c r="C15" s="12" t="s">
        <v>48</v>
      </c>
      <c r="D15" s="13" t="n">
        <v>0.157004</v>
      </c>
      <c r="E15" s="13" t="n">
        <v>0.081</v>
      </c>
      <c r="F15" s="14" t="n">
        <f aca="false">EXP(D15)</f>
        <v>1.17000029389273</v>
      </c>
      <c r="G15" s="14" t="n">
        <f aca="false">EXP(E15)</f>
        <v>1.08437089656676</v>
      </c>
      <c r="H15" s="12" t="s">
        <v>49</v>
      </c>
      <c r="I15" s="12" t="s">
        <v>50</v>
      </c>
      <c r="J15" s="12" t="s">
        <v>57</v>
      </c>
      <c r="K15" s="12" t="s">
        <v>52</v>
      </c>
    </row>
    <row r="16" customFormat="false" ht="15" hidden="false" customHeight="false" outlineLevel="0" collapsed="false">
      <c r="A16" s="15" t="s">
        <v>69</v>
      </c>
      <c r="B16" s="16" t="s">
        <v>47</v>
      </c>
      <c r="C16" s="16" t="s">
        <v>54</v>
      </c>
      <c r="D16" s="17" t="n">
        <v>-0.2006</v>
      </c>
      <c r="E16" s="17" t="n">
        <v>0.033</v>
      </c>
      <c r="F16" s="18" t="n">
        <f aca="false">EXP(D16)</f>
        <v>0.818239661968201</v>
      </c>
      <c r="G16" s="18" t="n">
        <f aca="false">EXP(E16)</f>
        <v>1.03355053924131</v>
      </c>
      <c r="H16" s="16" t="s">
        <v>55</v>
      </c>
      <c r="I16" s="16" t="s">
        <v>50</v>
      </c>
      <c r="J16" s="16" t="s">
        <v>51</v>
      </c>
      <c r="K16" s="16" t="s">
        <v>58</v>
      </c>
    </row>
    <row r="18" customFormat="false" ht="15" hidden="false" customHeight="false" outlineLevel="0" collapsed="false">
      <c r="A18" s="19" t="s">
        <v>70</v>
      </c>
      <c r="F18" s="20" t="n">
        <f aca="false">EXP(AVERAGE(D5:D16))</f>
        <v>0.888476941995267</v>
      </c>
    </row>
    <row r="19" customFormat="false" ht="15" hidden="false" customHeight="false" outlineLevel="0" collapsed="false">
      <c r="A19" s="19" t="s">
        <v>71</v>
      </c>
      <c r="G19" s="20" t="n">
        <f aca="false">EXP(AVERAGE(E5:E16))</f>
        <v>1.33249083635191</v>
      </c>
    </row>
    <row r="20" customFormat="false" ht="15" hidden="false" customHeight="false" outlineLevel="0" collapsed="false">
      <c r="A20" s="19" t="s">
        <v>72</v>
      </c>
      <c r="C20" s="21" t="n">
        <f aca="false">COUNTIF(B5:B16,"CRT")</f>
        <v>7</v>
      </c>
    </row>
    <row r="21" customFormat="false" ht="15" hidden="false" customHeight="false" outlineLevel="0" collapsed="false">
      <c r="A21" s="19" t="s">
        <v>73</v>
      </c>
      <c r="C21" s="21" t="n">
        <f aca="false">COUNTIF(B5:B16,"ICD")</f>
        <v>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8" t="s">
        <v>74</v>
      </c>
      <c r="B1" s="8"/>
      <c r="C1" s="8"/>
      <c r="D1" s="8"/>
      <c r="E1" s="8"/>
      <c r="F1" s="8"/>
      <c r="G1" s="8"/>
    </row>
    <row r="2" customFormat="false" ht="25.5" hidden="false" customHeight="true" outlineLevel="0" collapsed="false">
      <c r="A2" s="9" t="s">
        <v>75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</row>
    <row r="5" customFormat="false" ht="15" hidden="false" customHeight="false" outlineLevel="0" collapsed="false">
      <c r="A5" s="11" t="s">
        <v>83</v>
      </c>
      <c r="B5" s="14" t="n">
        <v>0.77</v>
      </c>
      <c r="C5" s="22" t="n">
        <v>0.6</v>
      </c>
      <c r="D5" s="22" t="n">
        <v>1</v>
      </c>
      <c r="E5" s="22" t="n">
        <f aca="false">D5-C5</f>
        <v>0.4</v>
      </c>
      <c r="F5" s="12" t="str">
        <f aca="false">IF(OR(C5&gt;1,D5&lt;1),"Yes","No")</f>
        <v>No</v>
      </c>
      <c r="G5" s="12" t="str">
        <f aca="false">IF(B5&lt;1,"Favours device","Favours control")</f>
        <v>Favours device</v>
      </c>
    </row>
    <row r="6" customFormat="false" ht="15" hidden="false" customHeight="false" outlineLevel="0" collapsed="false">
      <c r="A6" s="15" t="s">
        <v>84</v>
      </c>
      <c r="B6" s="18" t="n">
        <v>0.97</v>
      </c>
      <c r="C6" s="23" t="n">
        <v>0.7</v>
      </c>
      <c r="D6" s="23" t="n">
        <v>1.35</v>
      </c>
      <c r="E6" s="23" t="n">
        <f aca="false">D6-C6</f>
        <v>0.65</v>
      </c>
      <c r="F6" s="16" t="str">
        <f aca="false">IF(OR(C6&gt;1,D6&lt;1),"Yes","No")</f>
        <v>No</v>
      </c>
      <c r="G6" s="16" t="str">
        <f aca="false">IF(B6&lt;1,"Favours device","Favours control")</f>
        <v>Favours device</v>
      </c>
    </row>
    <row r="7" customFormat="false" ht="15" hidden="false" customHeight="false" outlineLevel="0" collapsed="false">
      <c r="A7" s="11" t="s">
        <v>85</v>
      </c>
      <c r="B7" s="14" t="n">
        <v>1.38</v>
      </c>
      <c r="C7" s="22" t="n">
        <v>1.02</v>
      </c>
      <c r="D7" s="22" t="n">
        <v>1.86</v>
      </c>
      <c r="E7" s="22" t="n">
        <f aca="false">D7-C7</f>
        <v>0.84</v>
      </c>
      <c r="F7" s="12" t="str">
        <f aca="false">IF(OR(C7&gt;1,D7&lt;1),"Yes","No")</f>
        <v>Yes</v>
      </c>
      <c r="G7" s="12" t="str">
        <f aca="false">IF(B7&lt;1,"Favours device","Favours control")</f>
        <v>Favours control</v>
      </c>
    </row>
    <row r="8" customFormat="false" ht="15" hidden="false" customHeight="false" outlineLevel="0" collapsed="false">
      <c r="A8" s="15" t="s">
        <v>86</v>
      </c>
      <c r="B8" s="18" t="n">
        <v>0.96</v>
      </c>
      <c r="C8" s="23" t="n">
        <v>0.78</v>
      </c>
      <c r="D8" s="23" t="n">
        <v>1.18</v>
      </c>
      <c r="E8" s="23" t="n">
        <f aca="false">D8-C8</f>
        <v>0.4</v>
      </c>
      <c r="F8" s="16" t="str">
        <f aca="false">IF(OR(C8&gt;1,D8&lt;1),"Yes","No")</f>
        <v>No</v>
      </c>
      <c r="G8" s="16" t="str">
        <f aca="false">IF(B8&lt;1,"Favours device","Favours control")</f>
        <v>Favours device</v>
      </c>
    </row>
    <row r="9" customFormat="false" ht="15" hidden="false" customHeight="false" outlineLevel="0" collapsed="false">
      <c r="A9" s="11" t="s">
        <v>87</v>
      </c>
      <c r="B9" s="14" t="n">
        <v>1.02</v>
      </c>
      <c r="C9" s="22" t="n">
        <v>0.99</v>
      </c>
      <c r="D9" s="22" t="n">
        <v>1.04</v>
      </c>
      <c r="E9" s="22" t="n">
        <f aca="false">D9-C9</f>
        <v>0.05</v>
      </c>
      <c r="F9" s="12" t="str">
        <f aca="false">IF(OR(C9&gt;1,D9&lt;1),"Yes","No")</f>
        <v>No</v>
      </c>
      <c r="G9" s="12" t="str">
        <f aca="false">IF(B9&lt;1,"Favours device","Favours control")</f>
        <v>Favours control</v>
      </c>
    </row>
    <row r="10" customFormat="false" ht="15" hidden="false" customHeight="false" outlineLevel="0" collapsed="false">
      <c r="A10" s="15" t="s">
        <v>88</v>
      </c>
      <c r="B10" s="18" t="n">
        <v>0.96</v>
      </c>
      <c r="C10" s="23" t="n">
        <v>0.91</v>
      </c>
      <c r="D10" s="23" t="n">
        <v>1.01</v>
      </c>
      <c r="E10" s="23" t="n">
        <f aca="false">D10-C10</f>
        <v>0.1</v>
      </c>
      <c r="F10" s="16" t="str">
        <f aca="false">IF(OR(C10&gt;1,D10&lt;1),"Yes","No")</f>
        <v>No</v>
      </c>
      <c r="G10" s="16" t="str">
        <f aca="false">IF(B10&lt;1,"Favours device","Favours control")</f>
        <v>Favours device</v>
      </c>
    </row>
    <row r="11" customFormat="false" ht="15" hidden="false" customHeight="false" outlineLevel="0" collapsed="false">
      <c r="A11" s="11" t="s">
        <v>89</v>
      </c>
      <c r="B11" s="14" t="n">
        <v>1.02</v>
      </c>
      <c r="C11" s="22" t="n">
        <v>0.85</v>
      </c>
      <c r="D11" s="22" t="n">
        <v>1.22</v>
      </c>
      <c r="E11" s="22" t="n">
        <f aca="false">D11-C11</f>
        <v>0.37</v>
      </c>
      <c r="F11" s="12" t="str">
        <f aca="false">IF(OR(C11&gt;1,D11&lt;1),"Yes","No")</f>
        <v>No</v>
      </c>
      <c r="G11" s="12" t="str">
        <f aca="false">IF(B11&lt;1,"Favours device","Favours control")</f>
        <v>Favours control</v>
      </c>
    </row>
    <row r="12" customFormat="false" ht="15" hidden="false" customHeight="false" outlineLevel="0" collapsed="false">
      <c r="A12" s="15" t="s">
        <v>90</v>
      </c>
      <c r="B12" s="18" t="n">
        <v>1</v>
      </c>
      <c r="C12" s="23" t="n">
        <v>0.93</v>
      </c>
      <c r="D12" s="23" t="n">
        <v>1.06</v>
      </c>
      <c r="E12" s="23" t="n">
        <f aca="false">D12-C12</f>
        <v>0.13</v>
      </c>
      <c r="F12" s="16" t="str">
        <f aca="false">IF(OR(C12&gt;1,D12&lt;1),"Yes","No")</f>
        <v>No</v>
      </c>
      <c r="G12" s="16" t="str">
        <f aca="false">IF(B12&lt;1,"Favours device","Favours control")</f>
        <v>Favours control</v>
      </c>
    </row>
    <row r="13" customFormat="false" ht="15" hidden="false" customHeight="false" outlineLevel="0" collapsed="false">
      <c r="A13" s="11" t="s">
        <v>58</v>
      </c>
      <c r="B13" s="14" t="n">
        <v>1.12</v>
      </c>
      <c r="C13" s="22" t="n">
        <v>1.05</v>
      </c>
      <c r="D13" s="22" t="n">
        <v>1.21</v>
      </c>
      <c r="E13" s="22" t="n">
        <f aca="false">D13-C13</f>
        <v>0.16</v>
      </c>
      <c r="F13" s="12" t="str">
        <f aca="false">IF(OR(C13&gt;1,D13&lt;1),"Yes","No")</f>
        <v>Yes</v>
      </c>
      <c r="G13" s="12" t="str">
        <f aca="false">IF(B13&lt;1,"Favours device","Favours control")</f>
        <v>Favours control</v>
      </c>
    </row>
    <row r="14" customFormat="false" ht="15" hidden="false" customHeight="false" outlineLevel="0" collapsed="false">
      <c r="A14" s="15" t="s">
        <v>52</v>
      </c>
      <c r="B14" s="18" t="n">
        <v>1.05</v>
      </c>
      <c r="C14" s="23" t="n">
        <v>0.77</v>
      </c>
      <c r="D14" s="23" t="n">
        <v>1.43</v>
      </c>
      <c r="E14" s="23" t="n">
        <f aca="false">D14-C14</f>
        <v>0.66</v>
      </c>
      <c r="F14" s="16" t="str">
        <f aca="false">IF(OR(C14&gt;1,D14&lt;1),"Yes","No")</f>
        <v>No</v>
      </c>
      <c r="G14" s="16" t="str">
        <f aca="false">IF(B14&lt;1,"Favours device","Favours control")</f>
        <v>Favours control</v>
      </c>
    </row>
    <row r="16" customFormat="false" ht="15" hidden="false" customHeight="false" outlineLevel="0" collapsed="false">
      <c r="A16" s="24" t="s">
        <v>91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8" t="s">
        <v>92</v>
      </c>
      <c r="B1" s="8"/>
      <c r="C1" s="8"/>
      <c r="D1" s="8"/>
      <c r="E1" s="8"/>
      <c r="F1" s="8"/>
      <c r="G1" s="8"/>
    </row>
    <row r="2" customFormat="false" ht="25.5" hidden="false" customHeight="true" outlineLevel="0" collapsed="false">
      <c r="A2" s="9" t="s">
        <v>93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</row>
    <row r="5" customFormat="false" ht="15" hidden="false" customHeight="false" outlineLevel="0" collapsed="false">
      <c r="A5" s="11" t="s">
        <v>94</v>
      </c>
      <c r="B5" s="14" t="n">
        <v>0.85</v>
      </c>
      <c r="C5" s="22" t="n">
        <v>0.54</v>
      </c>
      <c r="D5" s="22" t="n">
        <v>1.33</v>
      </c>
      <c r="E5" s="22" t="n">
        <f aca="false">D5-C5</f>
        <v>0.79</v>
      </c>
      <c r="F5" s="12" t="str">
        <f aca="false">IF(OR(C5&gt;1,D5&lt;1),"Yes","No")</f>
        <v>No</v>
      </c>
      <c r="G5" s="12" t="str">
        <f aca="false">IF(B5&lt;1,"Favours device","Favours control")</f>
        <v>Favours device</v>
      </c>
    </row>
    <row r="6" customFormat="false" ht="15" hidden="false" customHeight="false" outlineLevel="0" collapsed="false">
      <c r="A6" s="15" t="s">
        <v>95</v>
      </c>
      <c r="B6" s="18" t="n">
        <v>0.96</v>
      </c>
      <c r="C6" s="23" t="n">
        <v>0.77</v>
      </c>
      <c r="D6" s="23" t="n">
        <v>1.19</v>
      </c>
      <c r="E6" s="23" t="n">
        <f aca="false">D6-C6</f>
        <v>0.42</v>
      </c>
      <c r="F6" s="16" t="str">
        <f aca="false">IF(OR(C6&gt;1,D6&lt;1),"Yes","No")</f>
        <v>No</v>
      </c>
      <c r="G6" s="16" t="str">
        <f aca="false">IF(B6&lt;1,"Favours device","Favours control")</f>
        <v>Favours device</v>
      </c>
    </row>
    <row r="7" customFormat="false" ht="15" hidden="false" customHeight="false" outlineLevel="0" collapsed="false">
      <c r="A7" s="11" t="s">
        <v>86</v>
      </c>
      <c r="B7" s="14" t="n">
        <v>0.92</v>
      </c>
      <c r="C7" s="22" t="n">
        <v>0.76</v>
      </c>
      <c r="D7" s="22" t="n">
        <v>1.11</v>
      </c>
      <c r="E7" s="22" t="n">
        <f aca="false">D7-C7</f>
        <v>0.35</v>
      </c>
      <c r="F7" s="12" t="str">
        <f aca="false">IF(OR(C7&gt;1,D7&lt;1),"Yes","No")</f>
        <v>No</v>
      </c>
      <c r="G7" s="12" t="str">
        <f aca="false">IF(B7&lt;1,"Favours device","Favours control")</f>
        <v>Favours device</v>
      </c>
    </row>
    <row r="8" customFormat="false" ht="15" hidden="false" customHeight="false" outlineLevel="0" collapsed="false">
      <c r="A8" s="15" t="s">
        <v>87</v>
      </c>
      <c r="B8" s="18" t="n">
        <v>0.85</v>
      </c>
      <c r="C8" s="23" t="n">
        <v>0.7</v>
      </c>
      <c r="D8" s="23" t="n">
        <v>0.95</v>
      </c>
      <c r="E8" s="23" t="n">
        <f aca="false">D8-C8</f>
        <v>0.25</v>
      </c>
      <c r="F8" s="16" t="str">
        <f aca="false">IF(OR(C8&gt;1,D8&lt;1),"Yes","No")</f>
        <v>Yes</v>
      </c>
      <c r="G8" s="16" t="str">
        <f aca="false">IF(B8&lt;1,"Favours device","Favours control")</f>
        <v>Favours device</v>
      </c>
    </row>
    <row r="9" customFormat="false" ht="15" hidden="false" customHeight="false" outlineLevel="0" collapsed="false">
      <c r="A9" s="11" t="s">
        <v>89</v>
      </c>
      <c r="B9" s="14" t="n">
        <v>0.87</v>
      </c>
      <c r="C9" s="22" t="n">
        <v>0.75</v>
      </c>
      <c r="D9" s="22" t="n">
        <v>1.01</v>
      </c>
      <c r="E9" s="22" t="n">
        <f aca="false">D9-C9</f>
        <v>0.26</v>
      </c>
      <c r="F9" s="12" t="str">
        <f aca="false">IF(OR(C9&gt;1,D9&lt;1),"Yes","No")</f>
        <v>No</v>
      </c>
      <c r="G9" s="12" t="str">
        <f aca="false">IF(B9&lt;1,"Favours device","Favours control")</f>
        <v>Favours device</v>
      </c>
    </row>
    <row r="10" customFormat="false" ht="15" hidden="false" customHeight="false" outlineLevel="0" collapsed="false">
      <c r="A10" s="15" t="s">
        <v>90</v>
      </c>
      <c r="B10" s="18" t="n">
        <v>0.91</v>
      </c>
      <c r="C10" s="23" t="n">
        <v>0.84</v>
      </c>
      <c r="D10" s="23" t="n">
        <v>0.99</v>
      </c>
      <c r="E10" s="23" t="n">
        <f aca="false">D10-C10</f>
        <v>0.15</v>
      </c>
      <c r="F10" s="16" t="str">
        <f aca="false">IF(OR(C10&gt;1,D10&lt;1),"Yes","No")</f>
        <v>Yes</v>
      </c>
      <c r="G10" s="16" t="str">
        <f aca="false">IF(B10&lt;1,"Favours device","Favours control")</f>
        <v>Favours device</v>
      </c>
    </row>
    <row r="11" customFormat="false" ht="15" hidden="false" customHeight="false" outlineLevel="0" collapsed="false">
      <c r="A11" s="11" t="s">
        <v>58</v>
      </c>
      <c r="B11" s="14" t="n">
        <v>0.71</v>
      </c>
      <c r="C11" s="22" t="n">
        <v>0.56</v>
      </c>
      <c r="D11" s="22" t="n">
        <v>0.9</v>
      </c>
      <c r="E11" s="22" t="n">
        <f aca="false">D11-C11</f>
        <v>0.34</v>
      </c>
      <c r="F11" s="12" t="str">
        <f aca="false">IF(OR(C11&gt;1,D11&lt;1),"Yes","No")</f>
        <v>Yes</v>
      </c>
      <c r="G11" s="12" t="str">
        <f aca="false">IF(B11&lt;1,"Favours device","Favours control")</f>
        <v>Favours device</v>
      </c>
    </row>
    <row r="12" customFormat="false" ht="15" hidden="false" customHeight="false" outlineLevel="0" collapsed="false">
      <c r="A12" s="15" t="s">
        <v>52</v>
      </c>
      <c r="B12" s="18" t="n">
        <v>1.02</v>
      </c>
      <c r="C12" s="23" t="n">
        <v>0.82</v>
      </c>
      <c r="D12" s="23" t="n">
        <v>1.27</v>
      </c>
      <c r="E12" s="23" t="n">
        <f aca="false">D12-C12</f>
        <v>0.45</v>
      </c>
      <c r="F12" s="16" t="str">
        <f aca="false">IF(OR(C12&gt;1,D12&lt;1),"Yes","No")</f>
        <v>No</v>
      </c>
      <c r="G12" s="16" t="str">
        <f aca="false">IF(B12&lt;1,"Favours device","Favours control")</f>
        <v>Favours control</v>
      </c>
    </row>
    <row r="14" customFormat="false" ht="15" hidden="false" customHeight="false" outlineLevel="0" collapsed="false">
      <c r="A14" s="24" t="s">
        <v>91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8" t="s">
        <v>96</v>
      </c>
      <c r="B1" s="8"/>
      <c r="C1" s="8"/>
    </row>
    <row r="2" customFormat="false" ht="25.5" hidden="false" customHeight="true" outlineLevel="0" collapsed="false">
      <c r="A2" s="9" t="s">
        <v>97</v>
      </c>
      <c r="B2" s="9"/>
      <c r="C2" s="9"/>
    </row>
    <row r="4" customFormat="false" ht="15" hidden="false" customHeight="false" outlineLevel="0" collapsed="false">
      <c r="A4" s="10" t="s">
        <v>98</v>
      </c>
      <c r="B4" s="10" t="s">
        <v>99</v>
      </c>
      <c r="C4" s="10" t="s">
        <v>100</v>
      </c>
    </row>
    <row r="5" customFormat="false" ht="15" hidden="false" customHeight="false" outlineLevel="0" collapsed="false">
      <c r="A5" s="11" t="s">
        <v>101</v>
      </c>
      <c r="B5" s="25" t="n">
        <v>58</v>
      </c>
      <c r="C5" s="12" t="str">
        <f aca="false">IF(B5&gt;=75,"Considerable",IF(B5&gt;=50,"Substantial",IF(B5&gt;=25,"Moderate","Low")))</f>
        <v>Substantial</v>
      </c>
    </row>
    <row r="6" customFormat="false" ht="15" hidden="false" customHeight="false" outlineLevel="0" collapsed="false">
      <c r="A6" s="15" t="s">
        <v>102</v>
      </c>
      <c r="B6" s="26" t="n">
        <v>93</v>
      </c>
      <c r="C6" s="16" t="str">
        <f aca="false">IF(B6&gt;=75,"Considerable",IF(B6&gt;=50,"Substantial",IF(B6&gt;=25,"Moderate","Low")))</f>
        <v>Considerable</v>
      </c>
    </row>
    <row r="7" customFormat="false" ht="15" hidden="false" customHeight="false" outlineLevel="0" collapsed="false">
      <c r="A7" s="11" t="s">
        <v>103</v>
      </c>
      <c r="B7" s="25" t="n">
        <v>72.6</v>
      </c>
      <c r="C7" s="12" t="str">
        <f aca="false">IF(B7&gt;=75,"Considerable",IF(B7&gt;=50,"Substantial",IF(B7&gt;=25,"Moderate","Low")))</f>
        <v>Substantial</v>
      </c>
    </row>
    <row r="8" customFormat="false" ht="15" hidden="false" customHeight="false" outlineLevel="0" collapsed="false">
      <c r="A8" s="15" t="s">
        <v>104</v>
      </c>
      <c r="B8" s="26" t="n">
        <v>97</v>
      </c>
      <c r="C8" s="16" t="str">
        <f aca="false">IF(B8&gt;=75,"Considerable",IF(B8&gt;=50,"Substantial",IF(B8&gt;=25,"Moderate","Low")))</f>
        <v>Considerable</v>
      </c>
    </row>
    <row r="9" customFormat="false" ht="15" hidden="false" customHeight="false" outlineLevel="0" collapsed="false">
      <c r="A9" s="11" t="s">
        <v>105</v>
      </c>
      <c r="B9" s="25" t="n">
        <v>73</v>
      </c>
      <c r="C9" s="12" t="str">
        <f aca="false">IF(B9&gt;=75,"Considerable",IF(B9&gt;=50,"Substantial",IF(B9&gt;=25,"Moderate","Low")))</f>
        <v>Substantial</v>
      </c>
    </row>
    <row r="10" customFormat="false" ht="15" hidden="false" customHeight="false" outlineLevel="0" collapsed="false">
      <c r="A10" s="15" t="s">
        <v>106</v>
      </c>
      <c r="B10" s="26" t="n">
        <v>76</v>
      </c>
      <c r="C10" s="16" t="str">
        <f aca="false">IF(B10&gt;=75,"Considerable",IF(B10&gt;=50,"Substantial",IF(B10&gt;=25,"Moderate","Low")))</f>
        <v>Considerable</v>
      </c>
    </row>
    <row r="11" customFormat="false" ht="15" hidden="false" customHeight="false" outlineLevel="0" collapsed="false">
      <c r="A11" s="11" t="s">
        <v>107</v>
      </c>
      <c r="B11" s="25" t="n">
        <v>74</v>
      </c>
      <c r="C11" s="12" t="str">
        <f aca="false">IF(B11&gt;=75,"Considerable",IF(B11&gt;=50,"Substantial",IF(B11&gt;=25,"Moderate","Low")))</f>
        <v>Substantial</v>
      </c>
    </row>
    <row r="12" customFormat="false" ht="15" hidden="false" customHeight="false" outlineLevel="0" collapsed="false">
      <c r="A12" s="15" t="s">
        <v>108</v>
      </c>
      <c r="B12" s="26" t="n">
        <v>86</v>
      </c>
      <c r="C12" s="16" t="str">
        <f aca="false">IF(B12&gt;=75,"Considerable",IF(B12&gt;=50,"Substantial",IF(B12&gt;=25,"Moderate","Low")))</f>
        <v>Considerable</v>
      </c>
    </row>
    <row r="13" customFormat="false" ht="15" hidden="false" customHeight="false" outlineLevel="0" collapsed="false">
      <c r="A13" s="11" t="s">
        <v>109</v>
      </c>
      <c r="B13" s="25" t="n">
        <v>83</v>
      </c>
      <c r="C13" s="12" t="str">
        <f aca="false">IF(B13&gt;=75,"Considerable",IF(B13&gt;=50,"Substantial",IF(B13&gt;=25,"Moderate","Low")))</f>
        <v>Considerable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8" t="s">
        <v>110</v>
      </c>
      <c r="B1" s="8"/>
      <c r="C1" s="8"/>
      <c r="D1" s="8"/>
      <c r="E1" s="8"/>
      <c r="F1" s="8"/>
    </row>
    <row r="2" customFormat="false" ht="25.5" hidden="false" customHeight="true" outlineLevel="0" collapsed="false">
      <c r="A2" s="9" t="s">
        <v>111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10" t="s">
        <v>112</v>
      </c>
      <c r="B4" s="10" t="s">
        <v>113</v>
      </c>
      <c r="C4" s="10" t="s">
        <v>114</v>
      </c>
      <c r="D4" s="10" t="s">
        <v>115</v>
      </c>
      <c r="E4" s="10" t="s">
        <v>116</v>
      </c>
      <c r="F4" s="10" t="s">
        <v>117</v>
      </c>
    </row>
    <row r="5" customFormat="false" ht="25.5" hidden="false" customHeight="true" outlineLevel="0" collapsed="false">
      <c r="A5" s="27" t="s">
        <v>118</v>
      </c>
      <c r="B5" s="28" t="s">
        <v>119</v>
      </c>
      <c r="C5" s="27" t="s">
        <v>120</v>
      </c>
      <c r="D5" s="12" t="s">
        <v>121</v>
      </c>
      <c r="E5" s="27" t="s">
        <v>122</v>
      </c>
      <c r="F5" s="27" t="s">
        <v>123</v>
      </c>
    </row>
    <row r="6" customFormat="false" ht="25.5" hidden="false" customHeight="true" outlineLevel="0" collapsed="false">
      <c r="A6" s="29" t="s">
        <v>118</v>
      </c>
      <c r="B6" s="28" t="s">
        <v>119</v>
      </c>
      <c r="C6" s="29" t="s">
        <v>124</v>
      </c>
      <c r="D6" s="16" t="s">
        <v>125</v>
      </c>
      <c r="E6" s="29" t="s">
        <v>126</v>
      </c>
      <c r="F6" s="29" t="s">
        <v>123</v>
      </c>
    </row>
    <row r="7" customFormat="false" ht="25.5" hidden="false" customHeight="true" outlineLevel="0" collapsed="false">
      <c r="A7" s="27" t="s">
        <v>127</v>
      </c>
      <c r="B7" s="30" t="s">
        <v>128</v>
      </c>
      <c r="C7" s="27" t="s">
        <v>129</v>
      </c>
      <c r="D7" s="12" t="s">
        <v>130</v>
      </c>
      <c r="E7" s="27" t="s">
        <v>131</v>
      </c>
      <c r="F7" s="27" t="s">
        <v>132</v>
      </c>
    </row>
    <row r="8" customFormat="false" ht="25.5" hidden="false" customHeight="true" outlineLevel="0" collapsed="false">
      <c r="A8" s="29" t="s">
        <v>127</v>
      </c>
      <c r="B8" s="30" t="s">
        <v>128</v>
      </c>
      <c r="C8" s="29" t="s">
        <v>133</v>
      </c>
      <c r="D8" s="16" t="s">
        <v>134</v>
      </c>
      <c r="E8" s="29" t="s">
        <v>131</v>
      </c>
      <c r="F8" s="29" t="s">
        <v>132</v>
      </c>
    </row>
    <row r="9" customFormat="false" ht="25.5" hidden="false" customHeight="true" outlineLevel="0" collapsed="false">
      <c r="A9" s="27" t="s">
        <v>95</v>
      </c>
      <c r="B9" s="28" t="s">
        <v>135</v>
      </c>
      <c r="C9" s="27" t="s">
        <v>136</v>
      </c>
      <c r="D9" s="12" t="s">
        <v>137</v>
      </c>
      <c r="E9" s="27" t="s">
        <v>138</v>
      </c>
      <c r="F9" s="27" t="s">
        <v>139</v>
      </c>
    </row>
    <row r="10" customFormat="false" ht="25.5" hidden="false" customHeight="true" outlineLevel="0" collapsed="false">
      <c r="A10" s="29" t="s">
        <v>87</v>
      </c>
      <c r="B10" s="28" t="s">
        <v>135</v>
      </c>
      <c r="C10" s="29" t="s">
        <v>140</v>
      </c>
      <c r="D10" s="16" t="s">
        <v>141</v>
      </c>
      <c r="E10" s="29" t="s">
        <v>142</v>
      </c>
      <c r="F10" s="29" t="s">
        <v>139</v>
      </c>
    </row>
    <row r="11" customFormat="false" ht="25.5" hidden="false" customHeight="true" outlineLevel="0" collapsed="false">
      <c r="A11" s="27" t="s">
        <v>88</v>
      </c>
      <c r="B11" s="30" t="s">
        <v>128</v>
      </c>
      <c r="C11" s="27" t="s">
        <v>143</v>
      </c>
      <c r="D11" s="12" t="s">
        <v>141</v>
      </c>
      <c r="E11" s="27" t="s">
        <v>144</v>
      </c>
      <c r="F11" s="27" t="s">
        <v>139</v>
      </c>
    </row>
    <row r="12" customFormat="false" ht="25.5" hidden="false" customHeight="true" outlineLevel="0" collapsed="false">
      <c r="A12" s="29" t="s">
        <v>89</v>
      </c>
      <c r="B12" s="30" t="s">
        <v>128</v>
      </c>
      <c r="C12" s="29" t="s">
        <v>145</v>
      </c>
      <c r="D12" s="16" t="s">
        <v>128</v>
      </c>
      <c r="E12" s="29" t="s">
        <v>138</v>
      </c>
      <c r="F12" s="29" t="s">
        <v>139</v>
      </c>
    </row>
    <row r="13" customFormat="false" ht="25.5" hidden="false" customHeight="true" outlineLevel="0" collapsed="false">
      <c r="A13" s="27" t="s">
        <v>90</v>
      </c>
      <c r="B13" s="30" t="s">
        <v>128</v>
      </c>
      <c r="C13" s="27" t="s">
        <v>146</v>
      </c>
      <c r="D13" s="12" t="s">
        <v>128</v>
      </c>
      <c r="E13" s="27" t="s">
        <v>147</v>
      </c>
      <c r="F13" s="27" t="s">
        <v>139</v>
      </c>
    </row>
    <row r="14" customFormat="false" ht="25.5" hidden="false" customHeight="true" outlineLevel="0" collapsed="false">
      <c r="A14" s="29" t="s">
        <v>148</v>
      </c>
      <c r="B14" s="31" t="s">
        <v>149</v>
      </c>
      <c r="C14" s="29" t="s">
        <v>150</v>
      </c>
      <c r="D14" s="16" t="s">
        <v>128</v>
      </c>
      <c r="E14" s="29" t="s">
        <v>151</v>
      </c>
      <c r="F14" s="29" t="s">
        <v>152</v>
      </c>
    </row>
    <row r="15" customFormat="false" ht="25.5" hidden="false" customHeight="true" outlineLevel="0" collapsed="false">
      <c r="A15" s="27" t="s">
        <v>153</v>
      </c>
      <c r="B15" s="28" t="s">
        <v>119</v>
      </c>
      <c r="C15" s="27" t="s">
        <v>154</v>
      </c>
      <c r="D15" s="12" t="s">
        <v>128</v>
      </c>
      <c r="E15" s="27" t="s">
        <v>138</v>
      </c>
      <c r="F15" s="27" t="s">
        <v>139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0"/>
  </cols>
  <sheetData>
    <row r="1" customFormat="false" ht="27.75" hidden="false" customHeight="true" outlineLevel="0" collapsed="false">
      <c r="A1" s="8" t="s">
        <v>155</v>
      </c>
      <c r="B1" s="8"/>
      <c r="C1" s="8"/>
      <c r="D1" s="8"/>
    </row>
    <row r="2" customFormat="false" ht="25.5" hidden="false" customHeight="true" outlineLevel="0" collapsed="false">
      <c r="A2" s="9" t="s">
        <v>156</v>
      </c>
      <c r="B2" s="9"/>
      <c r="C2" s="9"/>
      <c r="D2" s="9"/>
    </row>
    <row r="4" customFormat="false" ht="15" hidden="false" customHeight="true" outlineLevel="0" collapsed="false">
      <c r="A4" s="32" t="s">
        <v>157</v>
      </c>
      <c r="B4" s="32"/>
      <c r="C4" s="33" t="s">
        <v>158</v>
      </c>
      <c r="D4" s="33"/>
    </row>
    <row r="5" customFormat="false" ht="42" hidden="false" customHeight="true" outlineLevel="0" collapsed="false">
      <c r="A5" s="34" t="s">
        <v>159</v>
      </c>
      <c r="B5" s="34"/>
      <c r="C5" s="34" t="s">
        <v>160</v>
      </c>
      <c r="D5" s="34"/>
    </row>
    <row r="6" customFormat="false" ht="42" hidden="false" customHeight="true" outlineLevel="0" collapsed="false">
      <c r="A6" s="34" t="s">
        <v>161</v>
      </c>
      <c r="B6" s="34"/>
      <c r="C6" s="34" t="s">
        <v>162</v>
      </c>
      <c r="D6" s="34"/>
    </row>
    <row r="7" customFormat="false" ht="42" hidden="false" customHeight="true" outlineLevel="0" collapsed="false">
      <c r="A7" s="34" t="s">
        <v>163</v>
      </c>
      <c r="B7" s="34"/>
      <c r="C7" s="34" t="s">
        <v>164</v>
      </c>
      <c r="D7" s="34"/>
    </row>
    <row r="8" customFormat="false" ht="42" hidden="false" customHeight="true" outlineLevel="0" collapsed="false">
      <c r="A8" s="34" t="s">
        <v>165</v>
      </c>
      <c r="B8" s="34"/>
      <c r="C8" s="34" t="s">
        <v>166</v>
      </c>
      <c r="D8" s="34"/>
    </row>
    <row r="10" customFormat="false" ht="15" hidden="false" customHeight="true" outlineLevel="0" collapsed="false">
      <c r="A10" s="35" t="s">
        <v>167</v>
      </c>
      <c r="B10" s="35"/>
      <c r="C10" s="36" t="s">
        <v>168</v>
      </c>
      <c r="D10" s="36"/>
    </row>
    <row r="11" customFormat="false" ht="42" hidden="false" customHeight="true" outlineLevel="0" collapsed="false">
      <c r="A11" s="34" t="s">
        <v>169</v>
      </c>
      <c r="B11" s="34"/>
      <c r="C11" s="34" t="s">
        <v>170</v>
      </c>
      <c r="D11" s="34"/>
    </row>
    <row r="12" customFormat="false" ht="42" hidden="false" customHeight="true" outlineLevel="0" collapsed="false">
      <c r="A12" s="34" t="s">
        <v>171</v>
      </c>
      <c r="B12" s="34"/>
      <c r="C12" s="34" t="s">
        <v>172</v>
      </c>
      <c r="D12" s="34"/>
    </row>
    <row r="13" customFormat="false" ht="42" hidden="false" customHeight="true" outlineLevel="0" collapsed="false">
      <c r="A13" s="34" t="s">
        <v>173</v>
      </c>
      <c r="B13" s="34"/>
      <c r="C13" s="34" t="s">
        <v>174</v>
      </c>
      <c r="D13" s="34"/>
    </row>
    <row r="14" customFormat="false" ht="42" hidden="false" customHeight="true" outlineLevel="0" collapsed="false">
      <c r="A14" s="34" t="s">
        <v>175</v>
      </c>
      <c r="B14" s="34"/>
      <c r="C14" s="34" t="s">
        <v>176</v>
      </c>
      <c r="D14" s="34"/>
    </row>
    <row r="16" customFormat="false" ht="15" hidden="false" customHeight="true" outlineLevel="0" collapsed="false">
      <c r="A16" s="3" t="s">
        <v>177</v>
      </c>
      <c r="B16" s="3"/>
      <c r="C16" s="3"/>
      <c r="D16" s="3"/>
    </row>
    <row r="17" customFormat="false" ht="27.75" hidden="false" customHeight="true" outlineLevel="0" collapsed="false">
      <c r="A17" s="37" t="s">
        <v>178</v>
      </c>
      <c r="B17" s="34" t="s">
        <v>179</v>
      </c>
      <c r="C17" s="34"/>
      <c r="D17" s="34"/>
    </row>
    <row r="18" customFormat="false" ht="27.75" hidden="false" customHeight="true" outlineLevel="0" collapsed="false">
      <c r="A18" s="37" t="s">
        <v>180</v>
      </c>
      <c r="B18" s="34" t="s">
        <v>181</v>
      </c>
      <c r="C18" s="34"/>
      <c r="D18" s="34"/>
    </row>
    <row r="19" customFormat="false" ht="27.75" hidden="false" customHeight="true" outlineLevel="0" collapsed="false">
      <c r="A19" s="37" t="s">
        <v>182</v>
      </c>
      <c r="B19" s="34" t="s">
        <v>183</v>
      </c>
      <c r="C19" s="34"/>
      <c r="D19" s="34"/>
    </row>
    <row r="20" customFormat="false" ht="27.75" hidden="false" customHeight="true" outlineLevel="0" collapsed="false">
      <c r="A20" s="37" t="s">
        <v>184</v>
      </c>
      <c r="B20" s="34" t="s">
        <v>185</v>
      </c>
      <c r="C20" s="34"/>
      <c r="D20" s="34"/>
    </row>
    <row r="22" customFormat="false" ht="15" hidden="false" customHeight="true" outlineLevel="0" collapsed="false">
      <c r="A22" s="3" t="s">
        <v>186</v>
      </c>
      <c r="B22" s="3"/>
      <c r="C22" s="3"/>
      <c r="D22" s="3"/>
    </row>
    <row r="23" customFormat="false" ht="15" hidden="false" customHeight="false" outlineLevel="0" collapsed="false">
      <c r="A23" s="38" t="s">
        <v>187</v>
      </c>
      <c r="B23" s="38" t="s">
        <v>77</v>
      </c>
      <c r="C23" s="38" t="s">
        <v>188</v>
      </c>
      <c r="D23" s="38" t="s">
        <v>189</v>
      </c>
    </row>
    <row r="24" customFormat="false" ht="22.35" hidden="false" customHeight="false" outlineLevel="0" collapsed="false">
      <c r="A24" s="27" t="s">
        <v>190</v>
      </c>
      <c r="B24" s="22" t="n">
        <v>1.17</v>
      </c>
      <c r="C24" s="22" t="n">
        <v>1.09</v>
      </c>
      <c r="D24" s="22" t="n">
        <v>1.25</v>
      </c>
    </row>
    <row r="25" customFormat="false" ht="22.35" hidden="false" customHeight="false" outlineLevel="0" collapsed="false">
      <c r="A25" s="27" t="s">
        <v>191</v>
      </c>
      <c r="B25" s="22" t="n">
        <v>0.85</v>
      </c>
      <c r="C25" s="22" t="n">
        <v>0.79</v>
      </c>
      <c r="D25" s="22" t="n">
        <v>0.93</v>
      </c>
    </row>
  </sheetData>
  <mergeCells count="28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D16"/>
    <mergeCell ref="B17:D17"/>
    <mergeCell ref="B18:D18"/>
    <mergeCell ref="B19:D19"/>
    <mergeCell ref="B20:D2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8" t="s">
        <v>192</v>
      </c>
      <c r="B1" s="8"/>
      <c r="C1" s="8"/>
      <c r="D1" s="8"/>
      <c r="E1" s="8"/>
      <c r="F1" s="8"/>
    </row>
    <row r="2" customFormat="false" ht="25.5" hidden="false" customHeight="true" outlineLevel="0" collapsed="false">
      <c r="A2" s="9" t="s">
        <v>193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39" t="s">
        <v>194</v>
      </c>
    </row>
    <row r="30" customFormat="false" ht="15" hidden="false" customHeight="false" outlineLevel="0" collapsed="false">
      <c r="A30" s="39" t="s">
        <v>195</v>
      </c>
    </row>
    <row r="56" customFormat="false" ht="15" hidden="false" customHeight="false" outlineLevel="0" collapsed="false">
      <c r="A56" s="39" t="s">
        <v>196</v>
      </c>
    </row>
    <row r="82" customFormat="false" ht="15" hidden="false" customHeight="false" outlineLevel="0" collapsed="false">
      <c r="A82" s="39" t="s">
        <v>115</v>
      </c>
    </row>
    <row r="108" customFormat="false" ht="15" hidden="false" customHeight="false" outlineLevel="0" collapsed="false">
      <c r="A108" s="39" t="s">
        <v>197</v>
      </c>
    </row>
    <row r="134" customFormat="false" ht="15" hidden="false" customHeight="false" outlineLevel="0" collapsed="false">
      <c r="A134" s="39" t="s">
        <v>198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2026-07-01T09:51:22Z</dcterms:created>
  <dc:creator>openpyxl</dc:creator>
  <dc:description/>
  <dc:language>en-US</dc:language>
  <cp:lastModifiedBy/>
  <dcterms:modified xsi:type="dcterms:W3CDTF">2026-07-01T09:51:25Z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